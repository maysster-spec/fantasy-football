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<sst xmlns="http://schemas.openxmlformats.org/spreadsheetml/2006/main" count="182" uniqueCount="125">
  <si>
    <t>Column 1</t>
  </si>
  <si>
    <t>ADP</t>
  </si>
  <si>
    <t>player</t>
  </si>
  <si>
    <t>pos</t>
  </si>
  <si>
    <t>bye</t>
  </si>
  <si>
    <t>class</t>
  </si>
  <si>
    <t>re-inj</t>
  </si>
  <si>
    <t>pri</t>
  </si>
  <si>
    <t>GP/14</t>
  </si>
  <si>
    <t>form</t>
  </si>
  <si>
    <t>vbd → adj</t>
  </si>
  <si>
    <t>Δ</t>
  </si>
  <si>
    <t>hedge</t>
  </si>
  <si>
    <t>why</t>
  </si>
  <si>
    <t>NEUTRAL</t>
  </si>
  <si>
    <t>Malik Nabers</t>
  </si>
  <si>
    <t>WR</t>
  </si>
  <si>
    <t>ACL-&lt;12mo</t>
  </si>
  <si>
    <t>15% [EST]</t>
  </si>
  <si>
    <t>14 (12-14)</t>
  </si>
  <si>
    <t>80% wk1-4 → 100%</t>
  </si>
  <si>
    <t>↓6</t>
  </si>
  <si>
    <t>Malachi Fields</t>
  </si>
  <si>
    <t>cleared; cleanup surgery only</t>
  </si>
  <si>
    <t>AVOID</t>
  </si>
  <si>
    <t>Josh Jacobs</t>
  </si>
  <si>
    <t>RB</t>
  </si>
  <si>
    <t>SUSPENSION</t>
  </si>
  <si>
    <t>—</t>
  </si>
  <si>
    <t>8 (8-14)</t>
  </si>
  <si>
    <t>100% ROS</t>
  </si>
  <si>
    <t>↓89</t>
  </si>
  <si>
    <t>MarShawn Lloyd</t>
  </si>
  <si>
    <t>potential 6-game suspension</t>
  </si>
  <si>
    <t>DISCOUNT</t>
  </si>
  <si>
    <t>Quinshon Judkins</t>
  </si>
  <si>
    <t>ANKLE-other</t>
  </si>
  <si>
    <t>10% [EST]</t>
  </si>
  <si>
    <t>85% wk1-4 → 95%</t>
  </si>
  <si>
    <t>↓9</t>
  </si>
  <si>
    <t>Jerome Ford</t>
  </si>
  <si>
    <t>severe December ankle</t>
  </si>
  <si>
    <t>Sam LaPorta</t>
  </si>
  <si>
    <t>TE</t>
  </si>
  <si>
    <t>BACK</t>
  </si>
  <si>
    <t>20% [EST]</t>
  </si>
  <si>
    <t>13 (11-14)</t>
  </si>
  <si>
    <t>90% ROS</t>
  </si>
  <si>
    <t>↓31</t>
  </si>
  <si>
    <t>Brock Wright</t>
  </si>
  <si>
    <t>cleared from microdiscectomy</t>
  </si>
  <si>
    <t>Jadarian Price</t>
  </si>
  <si>
    <t>NONE</t>
  </si>
  <si>
    <t>George Holani</t>
  </si>
  <si>
    <t>healthy; inherits early role</t>
  </si>
  <si>
    <t>Tucker Kraft</t>
  </si>
  <si>
    <t>12 (10-14)</t>
  </si>
  <si>
    <t>75% wk1-4 → 90%</t>
  </si>
  <si>
    <t>↓53</t>
  </si>
  <si>
    <t>Luke Musgrave</t>
  </si>
  <si>
    <t>Nov-25 tear limits early snaps</t>
  </si>
  <si>
    <t>George Kittle</t>
  </si>
  <si>
    <t>ACHILLES-&lt;12mo</t>
  </si>
  <si>
    <t>80% ROS</t>
  </si>
  <si>
    <t>↓60</t>
  </si>
  <si>
    <t>Eric Saubert</t>
  </si>
  <si>
    <t>7-month timeline; age 38</t>
  </si>
  <si>
    <t>Alec Pierce</t>
  </si>
  <si>
    <t>-7 → -41</t>
  </si>
  <si>
    <t>↓43</t>
  </si>
  <si>
    <t>Ashton Dulin</t>
  </si>
  <si>
    <t>March surgery after failed rehab</t>
  </si>
  <si>
    <t>Patrick Mahomes</t>
  </si>
  <si>
    <t>QB</t>
  </si>
  <si>
    <t>↓45</t>
  </si>
  <si>
    <t>Carson Wentz</t>
  </si>
  <si>
    <t>late-25 ACL/LCL caps rushing</t>
  </si>
  <si>
    <t>Jonathon Brooks</t>
  </si>
  <si>
    <t>ACL-12-24mo</t>
  </si>
  <si>
    <t>-14 → -36</t>
  </si>
  <si>
    <t>↓29</t>
  </si>
  <si>
    <t>multi-year gap; baseline restored</t>
  </si>
  <si>
    <t>T.J. Hockenson</t>
  </si>
  <si>
    <t>98% ROS</t>
  </si>
  <si>
    <t>-21 → -23</t>
  </si>
  <si>
    <t>↑4</t>
  </si>
  <si>
    <t>year-one dip cleared</t>
  </si>
  <si>
    <t>Chris Godwin Jr.</t>
  </si>
  <si>
    <t>HIGH-ANKLE</t>
  </si>
  <si>
    <t>-36 → -36</t>
  </si>
  <si>
    <t>↑3</t>
  </si>
  <si>
    <t>Jalen McMillan</t>
  </si>
  <si>
    <t>2024 WAS high ankle — now clear</t>
  </si>
  <si>
    <t>Jordyn Tyson</t>
  </si>
  <si>
    <t>HAMSTRING-1st</t>
  </si>
  <si>
    <t>35% [LIT]</t>
  </si>
  <si>
    <t>10 (9-10)</t>
  </si>
  <si>
    <t>85% ROS</t>
  </si>
  <si>
    <t>-82 → -114</t>
  </si>
  <si>
    <t>↓57</t>
  </si>
  <si>
    <t>Cedrick Wilson</t>
  </si>
  <si>
    <t>out 2 months; 2 priors multiply</t>
  </si>
  <si>
    <t>Zach Charbonnet</t>
  </si>
  <si>
    <t>4 (0-6)</t>
  </si>
  <si>
    <t>75% ROS</t>
  </si>
  <si>
    <t>-45 → -142</t>
  </si>
  <si>
    <t>↓201</t>
  </si>
  <si>
    <t>Jan reconstruction; delayed</t>
  </si>
  <si>
    <t>Daniel Jones</t>
  </si>
  <si>
    <t>25% [EST]</t>
  </si>
  <si>
    <t>0 (0-2)</t>
  </si>
  <si>
    <t>60% ROS</t>
  </si>
  <si>
    <t>-35 → -342</t>
  </si>
  <si>
    <t>↓356</t>
  </si>
  <si>
    <t>Riley Leonard</t>
  </si>
  <si>
    <t>wk14 tear guts rushing value</t>
  </si>
  <si>
    <t>Tank Dell</t>
  </si>
  <si>
    <t>KNEE-other</t>
  </si>
  <si>
    <t>30% [EST]</t>
  </si>
  <si>
    <t>2 (0-4)</t>
  </si>
  <si>
    <t>65% ROS</t>
  </si>
  <si>
    <t>-38 → -152</t>
  </si>
  <si>
    <t>↓231</t>
  </si>
  <si>
    <t>Robert Woods</t>
  </si>
  <si>
    <t>catastrophic multi-ligament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</si>
</sst>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7" displayName="Table1" name="Table1" id="1">
  <tableColumns count="14">
    <tableColumn name="Column 1" id="1"/>
    <tableColumn name="ADP" id="2"/>
    <tableColumn name="player" id="3"/>
    <tableColumn name="pos" id="4"/>
    <tableColumn name="bye" id="5"/>
    <tableColumn name="class" id="6"/>
    <tableColumn name="re-inj" id="7"/>
    <tableColumn name="pri" id="8"/>
    <tableColumn name="GP/14" id="9"/>
    <tableColumn name="form" id="10"/>
    <tableColumn name="vbd → adj" id="11"/>
    <tableColumn name="Δ" id="12"/>
    <tableColumn name="hedge" id="13"/>
    <tableColumn name="why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6" max="6" width="15.38"/>
    <col customWidth="1" min="10" max="10" width="16.75"/>
    <col customWidth="1" min="11" max="11" width="13.0"/>
    <col customWidth="1" min="13" max="13" width="14.5"/>
    <col customWidth="1" min="14" max="14" width="27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</row>
    <row r="2" ht="22.5" customHeight="1">
      <c r="A2" s="4" t="s">
        <v>14</v>
      </c>
      <c r="B2" s="5">
        <v>34.0</v>
      </c>
      <c r="C2" s="4" t="s">
        <v>15</v>
      </c>
      <c r="D2" s="6" t="s">
        <v>16</v>
      </c>
      <c r="E2" s="5">
        <v>8.0</v>
      </c>
      <c r="F2" s="4" t="s">
        <v>17</v>
      </c>
      <c r="G2" s="5" t="s">
        <v>18</v>
      </c>
      <c r="H2" s="5">
        <v>0.0</v>
      </c>
      <c r="I2" s="4" t="s">
        <v>19</v>
      </c>
      <c r="J2" s="4" t="s">
        <v>20</v>
      </c>
      <c r="K2" s="7" t="str">
        <f>+39 → +28</f>
        <v>#ERROR!</v>
      </c>
      <c r="L2" s="5" t="s">
        <v>21</v>
      </c>
      <c r="M2" s="4" t="s">
        <v>22</v>
      </c>
      <c r="N2" s="4" t="s">
        <v>23</v>
      </c>
    </row>
    <row r="3" ht="22.5" customHeight="1">
      <c r="A3" s="4" t="s">
        <v>24</v>
      </c>
      <c r="B3" s="5">
        <v>36.0</v>
      </c>
      <c r="C3" s="4" t="s">
        <v>25</v>
      </c>
      <c r="D3" s="6" t="s">
        <v>26</v>
      </c>
      <c r="E3" s="5">
        <v>11.0</v>
      </c>
      <c r="F3" s="4" t="s">
        <v>27</v>
      </c>
      <c r="G3" s="5" t="s">
        <v>28</v>
      </c>
      <c r="H3" s="5">
        <v>0.0</v>
      </c>
      <c r="I3" s="4" t="s">
        <v>29</v>
      </c>
      <c r="J3" s="4" t="s">
        <v>30</v>
      </c>
      <c r="K3" s="7" t="str">
        <f>+72 → -31</f>
        <v>#ERROR!</v>
      </c>
      <c r="L3" s="5" t="s">
        <v>31</v>
      </c>
      <c r="M3" s="4" t="s">
        <v>32</v>
      </c>
      <c r="N3" s="4" t="s">
        <v>33</v>
      </c>
    </row>
    <row r="4" ht="22.5" customHeight="1">
      <c r="A4" s="4" t="s">
        <v>34</v>
      </c>
      <c r="B4" s="5">
        <v>55.0</v>
      </c>
      <c r="C4" s="4" t="s">
        <v>35</v>
      </c>
      <c r="D4" s="6" t="s">
        <v>26</v>
      </c>
      <c r="E4" s="5">
        <v>11.0</v>
      </c>
      <c r="F4" s="4" t="s">
        <v>36</v>
      </c>
      <c r="G4" s="5" t="s">
        <v>37</v>
      </c>
      <c r="H4" s="5">
        <v>0.0</v>
      </c>
      <c r="I4" s="4" t="s">
        <v>19</v>
      </c>
      <c r="J4" s="4" t="s">
        <v>38</v>
      </c>
      <c r="K4" s="7" t="str">
        <f>+42 → +25</f>
        <v>#ERROR!</v>
      </c>
      <c r="L4" s="5" t="s">
        <v>39</v>
      </c>
      <c r="M4" s="4" t="s">
        <v>40</v>
      </c>
      <c r="N4" s="4" t="s">
        <v>41</v>
      </c>
    </row>
    <row r="5" ht="22.5" customHeight="1">
      <c r="A5" s="4" t="s">
        <v>24</v>
      </c>
      <c r="B5" s="5">
        <v>69.0</v>
      </c>
      <c r="C5" s="4" t="s">
        <v>42</v>
      </c>
      <c r="D5" s="6" t="s">
        <v>43</v>
      </c>
      <c r="E5" s="5">
        <v>6.0</v>
      </c>
      <c r="F5" s="4" t="s">
        <v>44</v>
      </c>
      <c r="G5" s="5" t="s">
        <v>45</v>
      </c>
      <c r="H5" s="5">
        <v>0.0</v>
      </c>
      <c r="I5" s="4" t="s">
        <v>46</v>
      </c>
      <c r="J5" s="4" t="s">
        <v>47</v>
      </c>
      <c r="K5" s="7" t="str">
        <f>+9 → -15</f>
        <v>#ERROR!</v>
      </c>
      <c r="L5" s="5" t="s">
        <v>48</v>
      </c>
      <c r="M5" s="4" t="s">
        <v>49</v>
      </c>
      <c r="N5" s="4" t="s">
        <v>50</v>
      </c>
    </row>
    <row r="6" ht="22.5" customHeight="1">
      <c r="A6" s="4" t="s">
        <v>14</v>
      </c>
      <c r="B6" s="5">
        <v>77.0</v>
      </c>
      <c r="C6" s="4" t="s">
        <v>51</v>
      </c>
      <c r="D6" s="6" t="s">
        <v>26</v>
      </c>
      <c r="E6" s="5">
        <v>11.0</v>
      </c>
      <c r="F6" s="4" t="s">
        <v>52</v>
      </c>
      <c r="G6" s="5" t="s">
        <v>28</v>
      </c>
      <c r="H6" s="5">
        <v>0.0</v>
      </c>
      <c r="I6" s="4" t="s">
        <v>19</v>
      </c>
      <c r="J6" s="4" t="s">
        <v>30</v>
      </c>
      <c r="K6" s="7" t="str">
        <f>+12 → +12</f>
        <v>#ERROR!</v>
      </c>
      <c r="L6" s="5" t="s">
        <v>28</v>
      </c>
      <c r="M6" s="4" t="s">
        <v>53</v>
      </c>
      <c r="N6" s="4" t="s">
        <v>54</v>
      </c>
    </row>
    <row r="7" ht="22.5" customHeight="1">
      <c r="A7" s="4" t="s">
        <v>24</v>
      </c>
      <c r="B7" s="5">
        <v>91.0</v>
      </c>
      <c r="C7" s="4" t="s">
        <v>55</v>
      </c>
      <c r="D7" s="6" t="s">
        <v>43</v>
      </c>
      <c r="E7" s="5">
        <v>11.0</v>
      </c>
      <c r="F7" s="4" t="s">
        <v>17</v>
      </c>
      <c r="G7" s="5" t="s">
        <v>18</v>
      </c>
      <c r="H7" s="5">
        <v>0.0</v>
      </c>
      <c r="I7" s="4" t="s">
        <v>56</v>
      </c>
      <c r="J7" s="4" t="s">
        <v>57</v>
      </c>
      <c r="K7" s="7" t="str">
        <f>+5 → -35</f>
        <v>#ERROR!</v>
      </c>
      <c r="L7" s="5" t="s">
        <v>58</v>
      </c>
      <c r="M7" s="4" t="s">
        <v>59</v>
      </c>
      <c r="N7" s="4" t="s">
        <v>60</v>
      </c>
    </row>
    <row r="8" ht="22.5" customHeight="1">
      <c r="A8" s="4" t="s">
        <v>24</v>
      </c>
      <c r="B8" s="5">
        <v>97.0</v>
      </c>
      <c r="C8" s="4" t="s">
        <v>61</v>
      </c>
      <c r="D8" s="6" t="s">
        <v>43</v>
      </c>
      <c r="E8" s="5">
        <v>8.0</v>
      </c>
      <c r="F8" s="4" t="s">
        <v>62</v>
      </c>
      <c r="G8" s="5" t="s">
        <v>45</v>
      </c>
      <c r="H8" s="5">
        <v>0.0</v>
      </c>
      <c r="I8" s="4" t="s">
        <v>56</v>
      </c>
      <c r="J8" s="4" t="s">
        <v>63</v>
      </c>
      <c r="K8" s="7" t="str">
        <f>+2 → -43</f>
        <v>#ERROR!</v>
      </c>
      <c r="L8" s="5" t="s">
        <v>64</v>
      </c>
      <c r="M8" s="4" t="s">
        <v>65</v>
      </c>
      <c r="N8" s="4" t="s">
        <v>66</v>
      </c>
    </row>
    <row r="9" ht="22.5" customHeight="1">
      <c r="A9" s="4" t="s">
        <v>24</v>
      </c>
      <c r="B9" s="5">
        <v>101.0</v>
      </c>
      <c r="C9" s="4" t="s">
        <v>67</v>
      </c>
      <c r="D9" s="6" t="s">
        <v>16</v>
      </c>
      <c r="E9" s="5">
        <v>13.0</v>
      </c>
      <c r="F9" s="4" t="s">
        <v>36</v>
      </c>
      <c r="G9" s="5" t="s">
        <v>18</v>
      </c>
      <c r="H9" s="5">
        <v>0.0</v>
      </c>
      <c r="I9" s="4" t="s">
        <v>56</v>
      </c>
      <c r="J9" s="4" t="s">
        <v>38</v>
      </c>
      <c r="K9" s="4" t="s">
        <v>68</v>
      </c>
      <c r="L9" s="5" t="s">
        <v>69</v>
      </c>
      <c r="M9" s="4" t="s">
        <v>70</v>
      </c>
      <c r="N9" s="4" t="s">
        <v>71</v>
      </c>
    </row>
    <row r="10" ht="22.5" customHeight="1">
      <c r="A10" s="4" t="s">
        <v>24</v>
      </c>
      <c r="B10" s="5">
        <v>107.0</v>
      </c>
      <c r="C10" s="4" t="s">
        <v>72</v>
      </c>
      <c r="D10" s="6" t="s">
        <v>73</v>
      </c>
      <c r="E10" s="5">
        <v>5.0</v>
      </c>
      <c r="F10" s="4" t="s">
        <v>17</v>
      </c>
      <c r="G10" s="5" t="s">
        <v>18</v>
      </c>
      <c r="H10" s="5">
        <v>0.0</v>
      </c>
      <c r="I10" s="4" t="s">
        <v>19</v>
      </c>
      <c r="J10" s="4" t="s">
        <v>47</v>
      </c>
      <c r="K10" s="7" t="str">
        <f>+2 → -32</f>
        <v>#ERROR!</v>
      </c>
      <c r="L10" s="5" t="s">
        <v>74</v>
      </c>
      <c r="M10" s="4" t="s">
        <v>75</v>
      </c>
      <c r="N10" s="4" t="s">
        <v>76</v>
      </c>
    </row>
    <row r="11" ht="22.5" customHeight="1">
      <c r="A11" s="4" t="s">
        <v>24</v>
      </c>
      <c r="B11" s="5">
        <v>118.0</v>
      </c>
      <c r="C11" s="4" t="s">
        <v>77</v>
      </c>
      <c r="D11" s="6" t="s">
        <v>26</v>
      </c>
      <c r="E11" s="5">
        <v>5.0</v>
      </c>
      <c r="F11" s="4" t="s">
        <v>78</v>
      </c>
      <c r="G11" s="5" t="s">
        <v>37</v>
      </c>
      <c r="H11" s="5">
        <v>1.0</v>
      </c>
      <c r="I11" s="4" t="s">
        <v>56</v>
      </c>
      <c r="J11" s="4" t="s">
        <v>30</v>
      </c>
      <c r="K11" s="4" t="s">
        <v>79</v>
      </c>
      <c r="L11" s="5" t="s">
        <v>80</v>
      </c>
      <c r="M11" s="4" t="s">
        <v>28</v>
      </c>
      <c r="N11" s="4" t="s">
        <v>81</v>
      </c>
    </row>
    <row r="12" ht="22.5" customHeight="1">
      <c r="A12" s="4" t="s">
        <v>14</v>
      </c>
      <c r="B12" s="5">
        <v>133.0</v>
      </c>
      <c r="C12" s="4" t="s">
        <v>82</v>
      </c>
      <c r="D12" s="6" t="s">
        <v>43</v>
      </c>
      <c r="E12" s="5">
        <v>6.0</v>
      </c>
      <c r="F12" s="4" t="s">
        <v>78</v>
      </c>
      <c r="G12" s="5" t="s">
        <v>37</v>
      </c>
      <c r="H12" s="5">
        <v>1.0</v>
      </c>
      <c r="I12" s="4" t="s">
        <v>19</v>
      </c>
      <c r="J12" s="4" t="s">
        <v>83</v>
      </c>
      <c r="K12" s="4" t="s">
        <v>84</v>
      </c>
      <c r="L12" s="5" t="s">
        <v>85</v>
      </c>
      <c r="M12" s="4" t="s">
        <v>28</v>
      </c>
      <c r="N12" s="4" t="s">
        <v>86</v>
      </c>
    </row>
    <row r="13" ht="22.5" customHeight="1">
      <c r="A13" s="4" t="s">
        <v>14</v>
      </c>
      <c r="B13" s="5">
        <v>144.0</v>
      </c>
      <c r="C13" s="4" t="s">
        <v>87</v>
      </c>
      <c r="D13" s="6" t="s">
        <v>16</v>
      </c>
      <c r="E13" s="5">
        <v>10.0</v>
      </c>
      <c r="F13" s="4" t="s">
        <v>88</v>
      </c>
      <c r="G13" s="5" t="s">
        <v>37</v>
      </c>
      <c r="H13" s="5">
        <v>1.0</v>
      </c>
      <c r="I13" s="4" t="s">
        <v>19</v>
      </c>
      <c r="J13" s="4" t="s">
        <v>30</v>
      </c>
      <c r="K13" s="4" t="s">
        <v>89</v>
      </c>
      <c r="L13" s="5" t="s">
        <v>90</v>
      </c>
      <c r="M13" s="4" t="s">
        <v>91</v>
      </c>
      <c r="N13" s="4" t="s">
        <v>92</v>
      </c>
    </row>
    <row r="14" ht="22.5" customHeight="1">
      <c r="A14" s="4" t="s">
        <v>24</v>
      </c>
      <c r="B14" s="5">
        <v>154.0</v>
      </c>
      <c r="C14" s="4" t="s">
        <v>93</v>
      </c>
      <c r="D14" s="6" t="s">
        <v>16</v>
      </c>
      <c r="E14" s="5">
        <v>8.0</v>
      </c>
      <c r="F14" s="4" t="s">
        <v>94</v>
      </c>
      <c r="G14" s="5" t="s">
        <v>95</v>
      </c>
      <c r="H14" s="5">
        <v>2.0</v>
      </c>
      <c r="I14" s="4" t="s">
        <v>96</v>
      </c>
      <c r="J14" s="4" t="s">
        <v>97</v>
      </c>
      <c r="K14" s="4" t="s">
        <v>98</v>
      </c>
      <c r="L14" s="5" t="s">
        <v>99</v>
      </c>
      <c r="M14" s="4" t="s">
        <v>100</v>
      </c>
      <c r="N14" s="4" t="s">
        <v>101</v>
      </c>
    </row>
    <row r="15" ht="22.5" customHeight="1">
      <c r="A15" s="4" t="s">
        <v>24</v>
      </c>
      <c r="B15" s="5">
        <v>156.0</v>
      </c>
      <c r="C15" s="4" t="s">
        <v>102</v>
      </c>
      <c r="D15" s="6" t="s">
        <v>26</v>
      </c>
      <c r="E15" s="5">
        <v>11.0</v>
      </c>
      <c r="F15" s="4" t="s">
        <v>17</v>
      </c>
      <c r="G15" s="5" t="s">
        <v>18</v>
      </c>
      <c r="H15" s="5">
        <v>0.0</v>
      </c>
      <c r="I15" s="4" t="s">
        <v>103</v>
      </c>
      <c r="J15" s="4" t="s">
        <v>104</v>
      </c>
      <c r="K15" s="4" t="s">
        <v>105</v>
      </c>
      <c r="L15" s="5" t="s">
        <v>106</v>
      </c>
      <c r="M15" s="4" t="s">
        <v>51</v>
      </c>
      <c r="N15" s="4" t="s">
        <v>107</v>
      </c>
    </row>
    <row r="16" ht="22.5" customHeight="1">
      <c r="A16" s="4" t="s">
        <v>24</v>
      </c>
      <c r="B16" s="5">
        <v>158.0</v>
      </c>
      <c r="C16" s="4" t="s">
        <v>108</v>
      </c>
      <c r="D16" s="6" t="s">
        <v>73</v>
      </c>
      <c r="E16" s="5">
        <v>13.0</v>
      </c>
      <c r="F16" s="4" t="s">
        <v>62</v>
      </c>
      <c r="G16" s="5" t="s">
        <v>109</v>
      </c>
      <c r="H16" s="5">
        <v>0.0</v>
      </c>
      <c r="I16" s="4" t="s">
        <v>110</v>
      </c>
      <c r="J16" s="4" t="s">
        <v>111</v>
      </c>
      <c r="K16" s="4" t="s">
        <v>112</v>
      </c>
      <c r="L16" s="5" t="s">
        <v>113</v>
      </c>
      <c r="M16" s="4" t="s">
        <v>114</v>
      </c>
      <c r="N16" s="4" t="s">
        <v>115</v>
      </c>
    </row>
    <row r="17" ht="22.5" customHeight="1">
      <c r="A17" s="4" t="s">
        <v>24</v>
      </c>
      <c r="B17" s="5">
        <v>159.0</v>
      </c>
      <c r="C17" s="4" t="s">
        <v>116</v>
      </c>
      <c r="D17" s="6" t="s">
        <v>16</v>
      </c>
      <c r="E17" s="5">
        <v>8.0</v>
      </c>
      <c r="F17" s="4" t="s">
        <v>117</v>
      </c>
      <c r="G17" s="5" t="s">
        <v>118</v>
      </c>
      <c r="H17" s="5">
        <v>0.0</v>
      </c>
      <c r="I17" s="4" t="s">
        <v>119</v>
      </c>
      <c r="J17" s="4" t="s">
        <v>120</v>
      </c>
      <c r="K17" s="4" t="s">
        <v>121</v>
      </c>
      <c r="L17" s="5" t="s">
        <v>122</v>
      </c>
      <c r="M17" s="4" t="s">
        <v>123</v>
      </c>
      <c r="N17" s="4" t="s">
        <v>124</v>
      </c>
    </row>
  </sheetData>
  <drawing r:id="rId1"/>
  <tableParts count="1">
    <tablePart r:id="rId3"/>
  </tableParts>
</worksheet>
</file>